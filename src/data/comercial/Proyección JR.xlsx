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Aptos" sheetId="2" r:id="rId6"/>
    <sheet state="visible" name="Casas" sheetId="3" r:id="rId7"/>
  </sheets>
  <definedNames/>
  <calcPr/>
</workbook>
</file>

<file path=xl/sharedStrings.xml><?xml version="1.0" encoding="utf-8"?>
<sst xmlns="http://schemas.openxmlformats.org/spreadsheetml/2006/main" count="137" uniqueCount="48">
  <si>
    <t>Datos</t>
  </si>
  <si>
    <t>Ingresos</t>
  </si>
  <si>
    <t>MKTN anual</t>
  </si>
  <si>
    <t>MKTN Mensual</t>
  </si>
  <si>
    <t>Ticket</t>
  </si>
  <si>
    <t>Ciclo</t>
  </si>
  <si>
    <t>Citas mes</t>
  </si>
  <si>
    <t>Cierres mes</t>
  </si>
  <si>
    <t>Clientes anuales</t>
  </si>
  <si>
    <t>Ventas al año</t>
  </si>
  <si>
    <t>Margen op</t>
  </si>
  <si>
    <t>Contactos</t>
  </si>
  <si>
    <t>Métrica</t>
  </si>
  <si>
    <t>Antes</t>
  </si>
  <si>
    <t>Después con IA</t>
  </si>
  <si>
    <t>Impacto</t>
  </si>
  <si>
    <t>Sin atender</t>
  </si>
  <si>
    <t>Conversaciones atendidas</t>
  </si>
  <si>
    <t>#Conversaciones</t>
  </si>
  <si>
    <t>Atención</t>
  </si>
  <si>
    <t>Ventas perdidas</t>
  </si>
  <si>
    <t>Ingresos perdidos</t>
  </si>
  <si>
    <t>Tasa de cierre</t>
  </si>
  <si>
    <t>Ventas cerradas</t>
  </si>
  <si>
    <t>Atendidas</t>
  </si>
  <si>
    <t xml:space="preserve">Margen de utilidad </t>
  </si>
  <si>
    <t>Ventas proyectadas</t>
  </si>
  <si>
    <t>Ingresos proyectados</t>
  </si>
  <si>
    <t>IA</t>
  </si>
  <si>
    <t>Conversaciones</t>
  </si>
  <si>
    <t>Números</t>
  </si>
  <si>
    <t>1 semana</t>
  </si>
  <si>
    <t>Aptos</t>
  </si>
  <si>
    <t>Ventas</t>
  </si>
  <si>
    <t>Monto perdido</t>
  </si>
  <si>
    <t>Monto proyectado</t>
  </si>
  <si>
    <t>Inversión</t>
  </si>
  <si>
    <t>ROI</t>
  </si>
  <si>
    <t>tope</t>
  </si>
  <si>
    <t>3 meses</t>
  </si>
  <si>
    <t>tasa de cierre de 10</t>
  </si>
  <si>
    <t xml:space="preserve">apto estudio </t>
  </si>
  <si>
    <t>se vende rapido</t>
  </si>
  <si>
    <t xml:space="preserve">1 semana </t>
  </si>
  <si>
    <t>casa</t>
  </si>
  <si>
    <t>mas demorado</t>
  </si>
  <si>
    <t>campañas</t>
  </si>
  <si>
    <t>citas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</si>
</sst>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10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2.0E8</v>
      </c>
      <c r="C2" s="2">
        <f>B7*B8</f>
        <v>172800000</v>
      </c>
      <c r="D2" s="2">
        <f>C2*5%</f>
        <v>8640000</v>
      </c>
      <c r="E2" s="2">
        <f>D2/12</f>
        <v>720000</v>
      </c>
    </row>
    <row r="3">
      <c r="A3" s="1" t="s">
        <v>5</v>
      </c>
      <c r="B3" s="2">
        <v>4.0</v>
      </c>
    </row>
    <row r="4">
      <c r="A4" s="1" t="s">
        <v>6</v>
      </c>
      <c r="B4" s="2">
        <v>60.0</v>
      </c>
    </row>
    <row r="5">
      <c r="A5" s="1" t="s">
        <v>7</v>
      </c>
      <c r="B5" s="3">
        <v>0.2</v>
      </c>
    </row>
    <row r="6">
      <c r="A6" s="1" t="s">
        <v>8</v>
      </c>
      <c r="B6" s="4">
        <f>B4*B5*12</f>
        <v>144</v>
      </c>
    </row>
    <row r="7">
      <c r="A7" s="1" t="s">
        <v>9</v>
      </c>
      <c r="B7" s="5">
        <f>B2*B5*B6</f>
        <v>5760000000</v>
      </c>
    </row>
    <row r="8">
      <c r="A8" s="1" t="s">
        <v>10</v>
      </c>
      <c r="B8" s="3">
        <v>0.03</v>
      </c>
    </row>
    <row r="10">
      <c r="A10" s="1" t="s">
        <v>11</v>
      </c>
      <c r="B10" s="1">
        <f>40*23</f>
        <v>920</v>
      </c>
      <c r="D10" s="6" t="s">
        <v>12</v>
      </c>
      <c r="E10" s="6" t="s">
        <v>13</v>
      </c>
      <c r="F10" s="6" t="s">
        <v>14</v>
      </c>
      <c r="G10" s="6" t="s">
        <v>15</v>
      </c>
    </row>
    <row r="11">
      <c r="A11" s="1" t="s">
        <v>16</v>
      </c>
      <c r="B11" s="3">
        <v>0.6</v>
      </c>
      <c r="D11" s="1" t="s">
        <v>17</v>
      </c>
      <c r="E11" s="7">
        <f t="shared" ref="E11:G11" si="1">$B$10</f>
        <v>920</v>
      </c>
      <c r="F11" s="7">
        <f t="shared" si="1"/>
        <v>920</v>
      </c>
      <c r="G11" s="7">
        <f t="shared" si="1"/>
        <v>920</v>
      </c>
    </row>
    <row r="12">
      <c r="A12" s="1" t="s">
        <v>18</v>
      </c>
      <c r="B12" s="4">
        <f>B10*B11</f>
        <v>552</v>
      </c>
      <c r="D12" s="1" t="s">
        <v>19</v>
      </c>
      <c r="E12" s="8">
        <f>B11</f>
        <v>0.6</v>
      </c>
      <c r="F12" s="8">
        <f>B22</f>
        <v>1</v>
      </c>
      <c r="G12" s="8">
        <v>0.4</v>
      </c>
    </row>
    <row r="13">
      <c r="A13" s="1" t="s">
        <v>20</v>
      </c>
      <c r="B13" s="2">
        <f>(B12*B5)*B2</f>
        <v>22080000000</v>
      </c>
      <c r="D13" s="1" t="s">
        <v>4</v>
      </c>
      <c r="E13" s="5">
        <f t="shared" ref="E13:G13" si="2">$B$2</f>
        <v>200000000</v>
      </c>
      <c r="F13" s="5">
        <f t="shared" si="2"/>
        <v>200000000</v>
      </c>
      <c r="G13" s="5">
        <f t="shared" si="2"/>
        <v>200000000</v>
      </c>
    </row>
    <row r="14">
      <c r="A14" s="1" t="s">
        <v>21</v>
      </c>
      <c r="B14" s="2">
        <f>B13*B8</f>
        <v>662400000</v>
      </c>
      <c r="D14" s="1" t="s">
        <v>22</v>
      </c>
      <c r="E14" s="8">
        <f t="shared" ref="E14:G14" si="3">$B$5</f>
        <v>0.2</v>
      </c>
      <c r="F14" s="8">
        <f t="shared" si="3"/>
        <v>0.2</v>
      </c>
      <c r="G14" s="8">
        <f t="shared" si="3"/>
        <v>0.2</v>
      </c>
    </row>
    <row r="15">
      <c r="D15" s="1" t="s">
        <v>23</v>
      </c>
      <c r="E15" s="5">
        <f t="shared" ref="E15:F15" si="4">E11*E12*E13*E14</f>
        <v>22080000000</v>
      </c>
      <c r="F15" s="9">
        <f t="shared" si="4"/>
        <v>36800000000</v>
      </c>
      <c r="G15" s="9">
        <f>F15-E15</f>
        <v>14720000000</v>
      </c>
    </row>
    <row r="16">
      <c r="A16" s="1" t="s">
        <v>24</v>
      </c>
      <c r="B16" s="4">
        <f>B10*(100%-B11)</f>
        <v>368</v>
      </c>
      <c r="D16" s="1" t="s">
        <v>25</v>
      </c>
      <c r="E16" s="8">
        <f t="shared" ref="E16:G16" si="5">$B$8</f>
        <v>0.03</v>
      </c>
      <c r="F16" s="8">
        <f t="shared" si="5"/>
        <v>0.03</v>
      </c>
      <c r="G16" s="8">
        <f t="shared" si="5"/>
        <v>0.03</v>
      </c>
      <c r="H16" s="10"/>
      <c r="I16" s="11"/>
    </row>
    <row r="17">
      <c r="A17" s="1" t="s">
        <v>26</v>
      </c>
      <c r="B17" s="2">
        <f>(B16*B2)*B5</f>
        <v>14720000000</v>
      </c>
      <c r="D17" s="1" t="s">
        <v>1</v>
      </c>
      <c r="E17" s="9">
        <f t="shared" ref="E17:F17" si="6">E15*E16</f>
        <v>662400000</v>
      </c>
      <c r="F17" s="9">
        <f t="shared" si="6"/>
        <v>1104000000</v>
      </c>
      <c r="G17" s="9">
        <f>F17-E17</f>
        <v>441600000</v>
      </c>
      <c r="H17" s="12"/>
      <c r="I17" s="7"/>
    </row>
    <row r="18">
      <c r="A18" s="1" t="s">
        <v>27</v>
      </c>
      <c r="B18" s="2">
        <f>B17*B8</f>
        <v>441600000</v>
      </c>
    </row>
    <row r="20">
      <c r="A20" s="7" t="s">
        <v>28</v>
      </c>
    </row>
    <row r="21">
      <c r="A21" s="1" t="s">
        <v>29</v>
      </c>
      <c r="B21" s="1">
        <v>40.0</v>
      </c>
    </row>
    <row r="22">
      <c r="A22" s="1" t="s">
        <v>24</v>
      </c>
      <c r="B22" s="3">
        <v>1.0</v>
      </c>
    </row>
    <row r="23">
      <c r="A23" s="1" t="s">
        <v>26</v>
      </c>
      <c r="B23" s="2">
        <f>B21*B2*B5</f>
        <v>1600000000</v>
      </c>
    </row>
    <row r="24">
      <c r="A24" s="1" t="s">
        <v>27</v>
      </c>
      <c r="B24" s="2">
        <f>B23*B8</f>
        <v>48000000</v>
      </c>
    </row>
    <row r="26">
      <c r="A26" s="7"/>
      <c r="B26" s="7"/>
    </row>
  </sheetData>
  <mergeCells count="1">
    <mergeCell ref="A20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30</v>
      </c>
    </row>
    <row r="2">
      <c r="A2" s="1" t="s">
        <v>4</v>
      </c>
      <c r="B2" s="2">
        <v>1.8E8</v>
      </c>
      <c r="C2" s="2"/>
      <c r="D2" s="2"/>
      <c r="E2" s="2"/>
      <c r="H2" s="4">
        <f>700000+(700000*30%)</f>
        <v>910000</v>
      </c>
      <c r="I2" s="4">
        <f>700000*30%</f>
        <v>210000</v>
      </c>
      <c r="J2" s="4">
        <f>I2/4</f>
        <v>52500</v>
      </c>
    </row>
    <row r="3">
      <c r="A3" s="1" t="s">
        <v>5</v>
      </c>
      <c r="B3" s="13">
        <v>0.25</v>
      </c>
      <c r="C3" s="1" t="s">
        <v>31</v>
      </c>
    </row>
    <row r="4">
      <c r="A4" s="1" t="s">
        <v>6</v>
      </c>
      <c r="B4" s="2">
        <v>60.0</v>
      </c>
    </row>
    <row r="5">
      <c r="A5" s="1" t="s">
        <v>7</v>
      </c>
      <c r="B5" s="3">
        <v>0.7</v>
      </c>
    </row>
    <row r="6">
      <c r="A6" s="1" t="s">
        <v>8</v>
      </c>
      <c r="B6" s="4">
        <f>B4*B5*12</f>
        <v>504</v>
      </c>
    </row>
    <row r="7">
      <c r="A7" s="1" t="s">
        <v>9</v>
      </c>
      <c r="B7" s="5">
        <f>B2*B5*B6</f>
        <v>63504000000</v>
      </c>
      <c r="C7" s="5">
        <f>B7*B8</f>
        <v>1905120000</v>
      </c>
      <c r="I7" s="1">
        <v>19.0</v>
      </c>
      <c r="J7" s="4">
        <f>2/I7</f>
        <v>0.1052631579</v>
      </c>
    </row>
    <row r="8">
      <c r="A8" s="1" t="s">
        <v>10</v>
      </c>
      <c r="B8" s="3">
        <v>0.03</v>
      </c>
    </row>
    <row r="10">
      <c r="A10" s="1" t="s">
        <v>11</v>
      </c>
      <c r="B10" s="1">
        <f>40*30</f>
        <v>1200</v>
      </c>
      <c r="D10" s="6" t="s">
        <v>12</v>
      </c>
      <c r="E10" s="6" t="s">
        <v>13</v>
      </c>
      <c r="F10" s="6" t="s">
        <v>14</v>
      </c>
      <c r="G10" s="6" t="s">
        <v>15</v>
      </c>
    </row>
    <row r="11">
      <c r="A11" s="1" t="s">
        <v>32</v>
      </c>
      <c r="B11" s="1">
        <f>B10*100%</f>
        <v>1200</v>
      </c>
      <c r="D11" s="6"/>
      <c r="E11" s="6"/>
      <c r="F11" s="6"/>
      <c r="G11" s="6"/>
    </row>
    <row r="12">
      <c r="A12" s="1" t="s">
        <v>16</v>
      </c>
      <c r="B12" s="3">
        <v>0.47</v>
      </c>
      <c r="D12" s="1" t="s">
        <v>17</v>
      </c>
      <c r="E12" s="7">
        <f t="shared" ref="E12:G12" si="1">$B$10</f>
        <v>1200</v>
      </c>
      <c r="F12" s="7">
        <f t="shared" si="1"/>
        <v>1200</v>
      </c>
      <c r="G12" s="7">
        <f t="shared" si="1"/>
        <v>1200</v>
      </c>
    </row>
    <row r="13">
      <c r="A13" s="1" t="s">
        <v>18</v>
      </c>
      <c r="B13" s="4">
        <f>B11*B12</f>
        <v>564</v>
      </c>
      <c r="D13" s="1" t="s">
        <v>19</v>
      </c>
      <c r="E13" s="8">
        <f>B12</f>
        <v>0.47</v>
      </c>
      <c r="F13" s="8">
        <f>B25</f>
        <v>1</v>
      </c>
      <c r="G13" s="8">
        <f>F13-E13</f>
        <v>0.53</v>
      </c>
    </row>
    <row r="14">
      <c r="A14" s="1" t="s">
        <v>33</v>
      </c>
      <c r="B14" s="4">
        <f>B13*B5</f>
        <v>394.8</v>
      </c>
      <c r="D14" s="1" t="s">
        <v>33</v>
      </c>
      <c r="E14" s="7">
        <f t="shared" ref="E14:G14" si="2">E12*E13</f>
        <v>564</v>
      </c>
      <c r="F14" s="7">
        <f t="shared" si="2"/>
        <v>1200</v>
      </c>
      <c r="G14" s="7">
        <f t="shared" si="2"/>
        <v>636</v>
      </c>
    </row>
    <row r="15">
      <c r="A15" s="1" t="s">
        <v>34</v>
      </c>
      <c r="B15" s="2">
        <f>(B13*B5)*B2</f>
        <v>71064000000</v>
      </c>
      <c r="D15" s="1" t="s">
        <v>4</v>
      </c>
      <c r="E15" s="5">
        <f t="shared" ref="E15:G15" si="3">$B$2</f>
        <v>180000000</v>
      </c>
      <c r="F15" s="5">
        <f t="shared" si="3"/>
        <v>180000000</v>
      </c>
      <c r="G15" s="5">
        <f t="shared" si="3"/>
        <v>180000000</v>
      </c>
    </row>
    <row r="16">
      <c r="A16" s="1" t="s">
        <v>21</v>
      </c>
      <c r="B16" s="2">
        <f>B15*B8</f>
        <v>2131920000</v>
      </c>
      <c r="D16" s="1" t="s">
        <v>22</v>
      </c>
      <c r="E16" s="8">
        <f t="shared" ref="E16:G16" si="4">$B$5</f>
        <v>0.7</v>
      </c>
      <c r="F16" s="8">
        <f t="shared" si="4"/>
        <v>0.7</v>
      </c>
      <c r="G16" s="8">
        <f t="shared" si="4"/>
        <v>0.7</v>
      </c>
    </row>
    <row r="17">
      <c r="D17" s="1" t="s">
        <v>23</v>
      </c>
      <c r="E17" s="5">
        <f t="shared" ref="E17:F17" si="5">E12*E13*E15*E16</f>
        <v>71064000000</v>
      </c>
      <c r="F17" s="9">
        <f t="shared" si="5"/>
        <v>151200000000</v>
      </c>
      <c r="G17" s="9">
        <f>F17-E17</f>
        <v>80136000000</v>
      </c>
    </row>
    <row r="18">
      <c r="A18" s="1" t="s">
        <v>24</v>
      </c>
      <c r="B18" s="4">
        <f>B11*(100%-B12)</f>
        <v>636</v>
      </c>
      <c r="D18" s="1" t="s">
        <v>25</v>
      </c>
      <c r="E18" s="8">
        <f t="shared" ref="E18:G18" si="6">$B$8</f>
        <v>0.03</v>
      </c>
      <c r="F18" s="8">
        <f t="shared" si="6"/>
        <v>0.03</v>
      </c>
      <c r="G18" s="8">
        <f t="shared" si="6"/>
        <v>0.03</v>
      </c>
    </row>
    <row r="19">
      <c r="A19" s="1" t="s">
        <v>33</v>
      </c>
      <c r="B19" s="4">
        <f>B18*B5</f>
        <v>445.2</v>
      </c>
      <c r="D19" s="1" t="s">
        <v>1</v>
      </c>
      <c r="E19" s="9">
        <f t="shared" ref="E19:F19" si="7">E17*E18</f>
        <v>2131920000</v>
      </c>
      <c r="F19" s="9">
        <f t="shared" si="7"/>
        <v>4536000000</v>
      </c>
      <c r="G19" s="9">
        <f>F19-E19</f>
        <v>2404080000</v>
      </c>
    </row>
    <row r="20">
      <c r="A20" s="1" t="s">
        <v>35</v>
      </c>
      <c r="B20" s="2">
        <f>(B18*B2)*B5</f>
        <v>80136000000</v>
      </c>
      <c r="D20" s="1" t="s">
        <v>36</v>
      </c>
      <c r="F20" s="9">
        <v>700000.0</v>
      </c>
    </row>
    <row r="21">
      <c r="A21" s="1" t="s">
        <v>27</v>
      </c>
      <c r="B21" s="2">
        <f>B20*B8</f>
        <v>2404080000</v>
      </c>
      <c r="D21" s="1" t="s">
        <v>37</v>
      </c>
      <c r="F21" s="14">
        <f>G19/F20</f>
        <v>3434.4</v>
      </c>
    </row>
    <row r="23">
      <c r="A23" s="7" t="s">
        <v>28</v>
      </c>
    </row>
    <row r="24">
      <c r="A24" s="1" t="s">
        <v>29</v>
      </c>
      <c r="B24" s="1">
        <v>40.0</v>
      </c>
    </row>
    <row r="25">
      <c r="A25" s="1" t="s">
        <v>24</v>
      </c>
      <c r="B25" s="3">
        <v>1.0</v>
      </c>
    </row>
    <row r="26">
      <c r="A26" s="1" t="s">
        <v>26</v>
      </c>
      <c r="B26" s="2">
        <f>B24*B2*B5</f>
        <v>5040000000</v>
      </c>
    </row>
    <row r="27">
      <c r="A27" s="1" t="s">
        <v>27</v>
      </c>
      <c r="B27" s="2">
        <f>B26*B8</f>
        <v>151200000</v>
      </c>
    </row>
    <row r="33">
      <c r="B33" s="1" t="s">
        <v>38</v>
      </c>
      <c r="C33" s="1" t="s">
        <v>39</v>
      </c>
      <c r="E33" s="1" t="s">
        <v>40</v>
      </c>
    </row>
    <row r="34">
      <c r="B34" s="1" t="s">
        <v>41</v>
      </c>
      <c r="C34" s="1" t="s">
        <v>42</v>
      </c>
      <c r="D34" s="1" t="s">
        <v>43</v>
      </c>
      <c r="E34" s="15">
        <v>45718.0</v>
      </c>
      <c r="H34" s="1">
        <v>100.0</v>
      </c>
    </row>
    <row r="35">
      <c r="B35" s="1" t="s">
        <v>44</v>
      </c>
      <c r="C35" s="1" t="s">
        <v>45</v>
      </c>
      <c r="D35" s="1">
        <v>3.0</v>
      </c>
      <c r="E35" s="1">
        <v>1.0</v>
      </c>
      <c r="G35" s="1" t="s">
        <v>46</v>
      </c>
      <c r="H35" s="1">
        <v>3.0</v>
      </c>
      <c r="I35" s="1" t="s">
        <v>47</v>
      </c>
    </row>
  </sheetData>
  <mergeCells count="1">
    <mergeCell ref="A23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4.0E8</v>
      </c>
      <c r="C2" s="2">
        <f>B7*B8</f>
        <v>864000</v>
      </c>
      <c r="D2" s="2">
        <f>C2*5%</f>
        <v>43200</v>
      </c>
      <c r="E2" s="2">
        <f>D2/12</f>
        <v>3600</v>
      </c>
    </row>
    <row r="3">
      <c r="A3" s="1" t="s">
        <v>5</v>
      </c>
      <c r="B3" s="2">
        <v>3.0</v>
      </c>
    </row>
    <row r="4">
      <c r="A4" s="1" t="s">
        <v>6</v>
      </c>
      <c r="B4" s="2">
        <v>60.0</v>
      </c>
      <c r="G4" s="1">
        <v>1.8E8</v>
      </c>
      <c r="H4" s="2">
        <f>G4*B8</f>
        <v>5400000</v>
      </c>
    </row>
    <row r="5">
      <c r="A5" s="1" t="s">
        <v>7</v>
      </c>
      <c r="B5" s="3">
        <v>0.01</v>
      </c>
      <c r="C5" s="4">
        <f>B4*B5</f>
        <v>0.6</v>
      </c>
    </row>
    <row r="6">
      <c r="A6" s="1" t="s">
        <v>8</v>
      </c>
      <c r="B6" s="4">
        <f>B4*B5*12</f>
        <v>7.2</v>
      </c>
    </row>
    <row r="7">
      <c r="A7" s="1" t="s">
        <v>9</v>
      </c>
      <c r="B7" s="5">
        <f>B2*B5*B6</f>
        <v>28800000</v>
      </c>
    </row>
    <row r="8">
      <c r="A8" s="1" t="s">
        <v>10</v>
      </c>
      <c r="B8" s="3">
        <v>0.03</v>
      </c>
    </row>
    <row r="10">
      <c r="A10" s="1" t="s">
        <v>11</v>
      </c>
      <c r="B10" s="1">
        <f>40*23</f>
        <v>920</v>
      </c>
      <c r="D10" s="6" t="s">
        <v>12</v>
      </c>
      <c r="E10" s="6" t="s">
        <v>13</v>
      </c>
      <c r="F10" s="6" t="s">
        <v>14</v>
      </c>
      <c r="G10" s="6" t="s">
        <v>15</v>
      </c>
    </row>
    <row r="11">
      <c r="A11" s="1" t="s">
        <v>32</v>
      </c>
      <c r="B11" s="1">
        <f>B10*20%</f>
        <v>184</v>
      </c>
      <c r="D11" s="1" t="s">
        <v>17</v>
      </c>
      <c r="E11" s="7">
        <f t="shared" ref="E11:G11" si="1">$B$10</f>
        <v>920</v>
      </c>
      <c r="F11" s="7">
        <f t="shared" si="1"/>
        <v>920</v>
      </c>
      <c r="G11" s="7">
        <f t="shared" si="1"/>
        <v>920</v>
      </c>
    </row>
    <row r="12">
      <c r="A12" s="1" t="s">
        <v>16</v>
      </c>
      <c r="B12" s="3">
        <v>0.47</v>
      </c>
      <c r="D12" s="1" t="s">
        <v>19</v>
      </c>
      <c r="E12" s="8">
        <f>B11</f>
        <v>184</v>
      </c>
      <c r="F12" s="8">
        <f>B26</f>
        <v>1</v>
      </c>
      <c r="G12" s="8">
        <f>F12-E12</f>
        <v>-183</v>
      </c>
    </row>
    <row r="13">
      <c r="A13" s="1" t="s">
        <v>18</v>
      </c>
      <c r="B13" s="4">
        <f>B11*B12</f>
        <v>86.48</v>
      </c>
      <c r="D13" s="1" t="s">
        <v>33</v>
      </c>
      <c r="E13" s="7">
        <f t="shared" ref="E13:G13" si="2">E11*E12</f>
        <v>169280</v>
      </c>
      <c r="F13" s="7">
        <f t="shared" si="2"/>
        <v>920</v>
      </c>
      <c r="G13" s="7">
        <f t="shared" si="2"/>
        <v>-168360</v>
      </c>
    </row>
    <row r="14">
      <c r="A14" s="1" t="s">
        <v>33</v>
      </c>
      <c r="B14" s="4">
        <f>B13*B5</f>
        <v>0.8648</v>
      </c>
      <c r="D14" s="1" t="s">
        <v>4</v>
      </c>
      <c r="E14" s="5">
        <f t="shared" ref="E14:G14" si="3">$B$2</f>
        <v>400000000</v>
      </c>
      <c r="F14" s="5">
        <f t="shared" si="3"/>
        <v>400000000</v>
      </c>
      <c r="G14" s="5">
        <f t="shared" si="3"/>
        <v>400000000</v>
      </c>
    </row>
    <row r="15">
      <c r="A15" s="1" t="s">
        <v>34</v>
      </c>
      <c r="B15" s="2">
        <f>(B13*B5)*B2</f>
        <v>345920000</v>
      </c>
      <c r="D15" s="1" t="s">
        <v>22</v>
      </c>
      <c r="E15" s="8">
        <f t="shared" ref="E15:G15" si="4">$B$5</f>
        <v>0.01</v>
      </c>
      <c r="F15" s="8">
        <f t="shared" si="4"/>
        <v>0.01</v>
      </c>
      <c r="G15" s="8">
        <f t="shared" si="4"/>
        <v>0.01</v>
      </c>
    </row>
    <row r="16">
      <c r="A16" s="1" t="s">
        <v>21</v>
      </c>
      <c r="B16" s="2">
        <f>B15*B8</f>
        <v>10377600</v>
      </c>
      <c r="D16" s="1" t="s">
        <v>23</v>
      </c>
      <c r="E16" s="5">
        <f t="shared" ref="E16:F16" si="5">E11*E12*E14*E15</f>
        <v>677120000000</v>
      </c>
      <c r="F16" s="9">
        <f t="shared" si="5"/>
        <v>3680000000</v>
      </c>
      <c r="G16" s="9">
        <f>F16-E16</f>
        <v>-673440000000</v>
      </c>
    </row>
    <row r="17">
      <c r="A17" s="1"/>
      <c r="B17" s="2"/>
      <c r="D17" s="1" t="s">
        <v>25</v>
      </c>
      <c r="E17" s="8">
        <f t="shared" ref="E17:G17" si="6">$B$8</f>
        <v>0.03</v>
      </c>
      <c r="F17" s="8">
        <f t="shared" si="6"/>
        <v>0.03</v>
      </c>
      <c r="G17" s="8">
        <f t="shared" si="6"/>
        <v>0.03</v>
      </c>
    </row>
    <row r="18">
      <c r="D18" s="1" t="s">
        <v>1</v>
      </c>
      <c r="E18" s="9">
        <f t="shared" ref="E18:F18" si="7">E16*E17</f>
        <v>20313600000</v>
      </c>
      <c r="F18" s="9">
        <f t="shared" si="7"/>
        <v>110400000</v>
      </c>
      <c r="G18" s="9">
        <f>F18-E18</f>
        <v>-20203200000</v>
      </c>
    </row>
    <row r="19">
      <c r="A19" s="1" t="s">
        <v>24</v>
      </c>
      <c r="B19" s="4">
        <f>B11*(100%-B11)</f>
        <v>-33672</v>
      </c>
      <c r="D19" s="1" t="s">
        <v>36</v>
      </c>
      <c r="F19" s="1">
        <v>700000.0</v>
      </c>
    </row>
    <row r="20">
      <c r="A20" s="1" t="s">
        <v>33</v>
      </c>
      <c r="B20" s="4">
        <f>B19*B5</f>
        <v>-336.72</v>
      </c>
      <c r="D20" s="1" t="s">
        <v>37</v>
      </c>
      <c r="F20" s="14">
        <f>G18/F19</f>
        <v>-28861.71429</v>
      </c>
    </row>
    <row r="21">
      <c r="A21" s="1" t="s">
        <v>35</v>
      </c>
      <c r="B21" s="2">
        <f>(B19*B2)*B5</f>
        <v>-134688000000</v>
      </c>
    </row>
    <row r="22">
      <c r="A22" s="1" t="s">
        <v>27</v>
      </c>
      <c r="B22" s="2">
        <f>B21*B8</f>
        <v>-4040640000</v>
      </c>
    </row>
    <row r="24">
      <c r="A24" s="7" t="s">
        <v>28</v>
      </c>
    </row>
    <row r="25">
      <c r="A25" s="1" t="s">
        <v>29</v>
      </c>
      <c r="B25" s="1">
        <v>40.0</v>
      </c>
    </row>
    <row r="26">
      <c r="A26" s="1" t="s">
        <v>24</v>
      </c>
      <c r="B26" s="3">
        <v>1.0</v>
      </c>
    </row>
    <row r="27">
      <c r="A27" s="1" t="s">
        <v>26</v>
      </c>
      <c r="B27" s="2">
        <f>B25*B2*B5</f>
        <v>160000000</v>
      </c>
    </row>
    <row r="28">
      <c r="A28" s="1" t="s">
        <v>27</v>
      </c>
      <c r="B28" s="2">
        <f>B27*B8</f>
        <v>4800000</v>
      </c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B35" s="1" t="s">
        <v>38</v>
      </c>
      <c r="C35" s="1" t="s">
        <v>39</v>
      </c>
      <c r="E35" s="1" t="s">
        <v>40</v>
      </c>
    </row>
    <row r="36">
      <c r="B36" s="1" t="s">
        <v>41</v>
      </c>
      <c r="C36" s="1" t="s">
        <v>42</v>
      </c>
      <c r="D36" s="1" t="s">
        <v>43</v>
      </c>
      <c r="E36" s="15">
        <v>45718.0</v>
      </c>
      <c r="H36" s="1">
        <v>100.0</v>
      </c>
    </row>
    <row r="37">
      <c r="B37" s="1" t="s">
        <v>44</v>
      </c>
      <c r="C37" s="1" t="s">
        <v>45</v>
      </c>
      <c r="D37" s="1">
        <v>3.0</v>
      </c>
      <c r="E37" s="1">
        <v>1.0</v>
      </c>
      <c r="G37" s="1" t="s">
        <v>46</v>
      </c>
      <c r="H37" s="1">
        <v>3.0</v>
      </c>
      <c r="I37" s="1" t="s">
        <v>47</v>
      </c>
    </row>
  </sheetData>
  <mergeCells count="1">
    <mergeCell ref="A24:B24"/>
  </mergeCells>
  <drawing r:id="rId1"/>
</worksheet>
</file>